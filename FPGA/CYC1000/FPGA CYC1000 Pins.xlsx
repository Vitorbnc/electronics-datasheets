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 activeTab="2"/>
  </bookViews>
  <sheets>
    <sheet name="Planilha2" sheetId="2" r:id="rId1"/>
    <sheet name="Planilha1" sheetId="1" r:id="rId2"/>
    <sheet name="Planilha3" sheetId="3" r:id="rId3"/>
  </sheets>
  <definedNames>
    <definedName name="ExternalData_1" localSheetId="2">Planilha3!$A$2:$E$52</definedName>
  </definedNames>
  <calcPr calcId="144525"/>
</workbook>
</file>

<file path=xl/connections.xml><?xml version="1.0" encoding="utf-8"?>
<connections xmlns="http://schemas.openxmlformats.org/spreadsheetml/2006/main">
  <connection id="1" name="Board Reference, FPGA Pin No., MKR" type="6" background="1" refreshedVersion="2" saveData="1">
    <textPr sourceFile="G:\My Drive\Projetos\AFM_v2\Board Reference, FPGA Pin No., MKR 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<sst xmlns="http://schemas.openxmlformats.org/spreadsheetml/2006/main" count="461" uniqueCount="264">
  <si>
    <t>FPGA Pin Planner</t>
  </si>
  <si>
    <t>CYC Connector</t>
  </si>
  <si>
    <t>FPGA Pin Name</t>
  </si>
  <si>
    <t>CYC1000 Pin Name</t>
  </si>
  <si>
    <t>FPGA Pin Function</t>
  </si>
  <si>
    <t>Pin Idx</t>
  </si>
  <si>
    <t>Assignment</t>
  </si>
  <si>
    <t>Total Pins</t>
  </si>
  <si>
    <t>MKR</t>
  </si>
  <si>
    <t>R12</t>
  </si>
  <si>
    <t>AIN0</t>
  </si>
  <si>
    <t>IO/DIFFIO_B18p</t>
  </si>
  <si>
    <t>DDS Parallel DAC Data Bit 0</t>
  </si>
  <si>
    <t>Pins IO Level</t>
  </si>
  <si>
    <t>3V3</t>
  </si>
  <si>
    <t>J3</t>
  </si>
  <si>
    <t>T12</t>
  </si>
  <si>
    <t>AIN</t>
  </si>
  <si>
    <t>IO/DIFFIO_B18n</t>
  </si>
  <si>
    <t>R13</t>
  </si>
  <si>
    <t>AIN2</t>
  </si>
  <si>
    <t>IO/DIFFIO_B20p</t>
  </si>
  <si>
    <t>DDS Parallel DAC Data Bit</t>
  </si>
  <si>
    <t>T13</t>
  </si>
  <si>
    <t>AIN1</t>
  </si>
  <si>
    <t>IO/DIFFIO_B20n</t>
  </si>
  <si>
    <t>T14</t>
  </si>
  <si>
    <t>AIN3</t>
  </si>
  <si>
    <t>IO/DIFFIO_B23p</t>
  </si>
  <si>
    <t>T15</t>
  </si>
  <si>
    <t>AIN6</t>
  </si>
  <si>
    <t>IO/DIFFIO_B23n</t>
  </si>
  <si>
    <t>P14</t>
  </si>
  <si>
    <t>AIN4</t>
  </si>
  <si>
    <t>IO/PLL4_CLKOUTp</t>
  </si>
  <si>
    <t>R14</t>
  </si>
  <si>
    <t>AIN5</t>
  </si>
  <si>
    <t>IO/PLL4_CLKOUTn</t>
  </si>
  <si>
    <t>N15</t>
  </si>
  <si>
    <t>L15</t>
  </si>
  <si>
    <t>L16</t>
  </si>
  <si>
    <t>K15</t>
  </si>
  <si>
    <t>K16</t>
  </si>
  <si>
    <t>J14</t>
  </si>
  <si>
    <t>N2</t>
  </si>
  <si>
    <t>N1</t>
  </si>
  <si>
    <t>P2</t>
  </si>
  <si>
    <t>DDS Parallel DAC Data Bit 15</t>
  </si>
  <si>
    <t>J1</t>
  </si>
  <si>
    <t>D9</t>
  </si>
  <si>
    <t>IO/DIFFIO_L7n</t>
  </si>
  <si>
    <t>DDS Parallel DAC CLK</t>
  </si>
  <si>
    <t>J2</t>
  </si>
  <si>
    <t>D10</t>
  </si>
  <si>
    <t>IO/DIFFIO_L7p</t>
  </si>
  <si>
    <t>Piezo DAC SPI MOSI</t>
  </si>
  <si>
    <t>K2</t>
  </si>
  <si>
    <t>Piezo DAC SPI MISO</t>
  </si>
  <si>
    <t>L2</t>
  </si>
  <si>
    <t>Piezo DAC SPI SCK</t>
  </si>
  <si>
    <t>P1</t>
  </si>
  <si>
    <t>Piezo DAC SPI SS1</t>
  </si>
  <si>
    <t xml:space="preserve">R1 </t>
  </si>
  <si>
    <t>Piezo DAC SPI SS2</t>
  </si>
  <si>
    <t>PMOD</t>
  </si>
  <si>
    <t>F13</t>
  </si>
  <si>
    <t>DDS gain DAC SPI SS</t>
  </si>
  <si>
    <t>F15</t>
  </si>
  <si>
    <t>F16</t>
  </si>
  <si>
    <t>D16</t>
  </si>
  <si>
    <t>D15</t>
  </si>
  <si>
    <t>C15</t>
  </si>
  <si>
    <t>B16</t>
  </si>
  <si>
    <t>C16</t>
  </si>
  <si>
    <t>R11</t>
  </si>
  <si>
    <t>FPGA Pin</t>
  </si>
  <si>
    <t>FPGA Connector Name</t>
  </si>
  <si>
    <t>FPGA Connector</t>
  </si>
  <si>
    <t>Prefixed Name</t>
  </si>
  <si>
    <t>AFM Pin</t>
  </si>
  <si>
    <t>AFM Connector</t>
  </si>
  <si>
    <t>AFM Connector Name</t>
  </si>
  <si>
    <t>Block</t>
  </si>
  <si>
    <t>Type</t>
  </si>
  <si>
    <t xml:space="preserve">Voltage </t>
  </si>
  <si>
    <t>DB0</t>
  </si>
  <si>
    <t>J17</t>
  </si>
  <si>
    <t>DDS DIO0</t>
  </si>
  <si>
    <t>DB1</t>
  </si>
  <si>
    <t>DB2</t>
  </si>
  <si>
    <t>DB3</t>
  </si>
  <si>
    <t>DB4</t>
  </si>
  <si>
    <t>DB5</t>
  </si>
  <si>
    <t>DB6</t>
  </si>
  <si>
    <t>DB7</t>
  </si>
  <si>
    <t>DB8</t>
  </si>
  <si>
    <t>DB9</t>
  </si>
  <si>
    <t>DB10</t>
  </si>
  <si>
    <t>DB11</t>
  </si>
  <si>
    <t>DB12</t>
  </si>
  <si>
    <t>DB13</t>
  </si>
  <si>
    <t>DB14</t>
  </si>
  <si>
    <t>J16</t>
  </si>
  <si>
    <t>DDS DIO1</t>
  </si>
  <si>
    <t>DB15</t>
  </si>
  <si>
    <t>CLK</t>
  </si>
  <si>
    <t>SYNC</t>
  </si>
  <si>
    <t>J21</t>
  </si>
  <si>
    <t>DDS AMPT</t>
  </si>
  <si>
    <t>SCK</t>
  </si>
  <si>
    <t>SDI</t>
  </si>
  <si>
    <t>SDO</t>
  </si>
  <si>
    <t>nCS</t>
  </si>
  <si>
    <t>J5</t>
  </si>
  <si>
    <t>PIEZO DAC1 SPI</t>
  </si>
  <si>
    <t>SRO</t>
  </si>
  <si>
    <t>J6</t>
  </si>
  <si>
    <t>PIEZO DAC2 SPI</t>
  </si>
  <si>
    <r>
      <rPr>
        <sz val="10"/>
        <color theme="1"/>
        <rFont val="Calibri"/>
        <charset val="134"/>
        <scheme val="minor"/>
      </rPr>
      <t>3.3.6 Arduino MKR Connectors</t>
    </r>
  </si>
  <si>
    <t>Board Reference</t>
  </si>
  <si>
    <t xml:space="preserve"> FPGA Pin No.</t>
  </si>
  <si>
    <t xml:space="preserve"> MKR Header</t>
  </si>
  <si>
    <t xml:space="preserve"> Description</t>
  </si>
  <si>
    <t xml:space="preserve"> I/O Standard</t>
  </si>
  <si>
    <t>AREF</t>
  </si>
  <si>
    <t xml:space="preserve"> PIN_P11</t>
  </si>
  <si>
    <t xml:space="preserve"> J1/1</t>
  </si>
  <si>
    <t xml:space="preserve"> Input reference voltage or GPIO</t>
  </si>
  <si>
    <t xml:space="preserve"> 3.3 V</t>
  </si>
  <si>
    <t xml:space="preserve"> PIN_R12</t>
  </si>
  <si>
    <t xml:space="preserve"> J1/2</t>
  </si>
  <si>
    <t xml:space="preserve"> GPIO [0]</t>
  </si>
  <si>
    <t xml:space="preserve"> PIN_T13</t>
  </si>
  <si>
    <t xml:space="preserve"> J1/3</t>
  </si>
  <si>
    <t xml:space="preserve"> GPIO [1]</t>
  </si>
  <si>
    <t xml:space="preserve"> PIN_R13</t>
  </si>
  <si>
    <t xml:space="preserve"> J1/4</t>
  </si>
  <si>
    <t xml:space="preserve"> GPIO [2]</t>
  </si>
  <si>
    <t xml:space="preserve"> PIN_T14</t>
  </si>
  <si>
    <t xml:space="preserve"> J1/5</t>
  </si>
  <si>
    <t xml:space="preserve"> GPIO [3]</t>
  </si>
  <si>
    <t xml:space="preserve"> PIN_P14</t>
  </si>
  <si>
    <t xml:space="preserve"> J1/6</t>
  </si>
  <si>
    <t xml:space="preserve"> GPIO [4]</t>
  </si>
  <si>
    <t xml:space="preserve"> PIN_R14</t>
  </si>
  <si>
    <t xml:space="preserve"> J1/7</t>
  </si>
  <si>
    <t xml:space="preserve"> GPIO [5]</t>
  </si>
  <si>
    <t xml:space="preserve"> PIN_T15</t>
  </si>
  <si>
    <t xml:space="preserve"> J1/8</t>
  </si>
  <si>
    <t xml:space="preserve"> GPIO [6]</t>
  </si>
  <si>
    <t>D0</t>
  </si>
  <si>
    <t xml:space="preserve"> PIN_N16</t>
  </si>
  <si>
    <t xml:space="preserve"> J1/9</t>
  </si>
  <si>
    <t xml:space="preserve"> Digital In [0]</t>
  </si>
  <si>
    <t>D1</t>
  </si>
  <si>
    <t xml:space="preserve"> PIN_L15</t>
  </si>
  <si>
    <t xml:space="preserve"> J1/10</t>
  </si>
  <si>
    <t xml:space="preserve"> Digital In [1]</t>
  </si>
  <si>
    <t>D2</t>
  </si>
  <si>
    <t xml:space="preserve"> PIN_L16</t>
  </si>
  <si>
    <t xml:space="preserve"> J1/11</t>
  </si>
  <si>
    <t xml:space="preserve"> Digital In [2]</t>
  </si>
  <si>
    <t>D3</t>
  </si>
  <si>
    <t xml:space="preserve"> PIN_K15</t>
  </si>
  <si>
    <t xml:space="preserve"> J1/12</t>
  </si>
  <si>
    <t xml:space="preserve"> Digital In [3]</t>
  </si>
  <si>
    <t>D4</t>
  </si>
  <si>
    <t xml:space="preserve"> PIN_K16</t>
  </si>
  <si>
    <t xml:space="preserve"> J1/13</t>
  </si>
  <si>
    <t xml:space="preserve"> Digital In [4]</t>
  </si>
  <si>
    <t>D5</t>
  </si>
  <si>
    <t xml:space="preserve"> PIN_J14</t>
  </si>
  <si>
    <t xml:space="preserve"> J1/14</t>
  </si>
  <si>
    <t xml:space="preserve"> Digital In [5]</t>
  </si>
  <si>
    <t>D6</t>
  </si>
  <si>
    <t xml:space="preserve"> PIN_N2</t>
  </si>
  <si>
    <t xml:space="preserve"> J2/1</t>
  </si>
  <si>
    <t xml:space="preserve"> Digital In [6]</t>
  </si>
  <si>
    <t>D7</t>
  </si>
  <si>
    <t xml:space="preserve"> PIN_N1</t>
  </si>
  <si>
    <t xml:space="preserve"> J2/2</t>
  </si>
  <si>
    <t xml:space="preserve"> Digital In [7]</t>
  </si>
  <si>
    <t>D8</t>
  </si>
  <si>
    <t xml:space="preserve"> PIN_P2</t>
  </si>
  <si>
    <t xml:space="preserve"> J2/3</t>
  </si>
  <si>
    <t xml:space="preserve"> Digital In [8]</t>
  </si>
  <si>
    <t xml:space="preserve"> PIN_J1</t>
  </si>
  <si>
    <t xml:space="preserve"> J2/4</t>
  </si>
  <si>
    <t xml:space="preserve"> Digital In [9]</t>
  </si>
  <si>
    <t xml:space="preserve"> PIN_J2</t>
  </si>
  <si>
    <t xml:space="preserve"> J2/5</t>
  </si>
  <si>
    <t xml:space="preserve"> Digital In [10]</t>
  </si>
  <si>
    <t>D11</t>
  </si>
  <si>
    <t xml:space="preserve"> PIN_K2</t>
  </si>
  <si>
    <t xml:space="preserve"> J2/6</t>
  </si>
  <si>
    <t xml:space="preserve"> Digital In [11]</t>
  </si>
  <si>
    <t xml:space="preserve"> 3.3V</t>
  </si>
  <si>
    <t>D12</t>
  </si>
  <si>
    <t xml:space="preserve"> PIN_L2</t>
  </si>
  <si>
    <t xml:space="preserve"> J2/7</t>
  </si>
  <si>
    <t xml:space="preserve"> Digital In [12]</t>
  </si>
  <si>
    <t>D13</t>
  </si>
  <si>
    <t xml:space="preserve"> PIN_P1</t>
  </si>
  <si>
    <t xml:space="preserve"> J2/8</t>
  </si>
  <si>
    <t xml:space="preserve"> Digital In [13]</t>
  </si>
  <si>
    <t>D14</t>
  </si>
  <si>
    <t xml:space="preserve"> PIN_R1</t>
  </si>
  <si>
    <t xml:space="preserve"> J2/9</t>
  </si>
  <si>
    <t xml:space="preserve"> Digital In [14]</t>
  </si>
  <si>
    <t>D11_R</t>
  </si>
  <si>
    <t xml:space="preserve"> PIN_K1</t>
  </si>
  <si>
    <t xml:space="preserve"> Digital In [11] with resistor*</t>
  </si>
  <si>
    <t>D12_R</t>
  </si>
  <si>
    <t xml:space="preserve"> PIN_L1</t>
  </si>
  <si>
    <t xml:space="preserve"> Digital In [12] with resistor*</t>
  </si>
  <si>
    <t>RESET</t>
  </si>
  <si>
    <t xml:space="preserve"> PIN_H5</t>
  </si>
  <si>
    <t xml:space="preserve"> J2/10</t>
  </si>
  <si>
    <t xml:space="preserve"> System reset of the board</t>
  </si>
  <si>
    <t>GND</t>
  </si>
  <si>
    <t xml:space="preserve"> N/A</t>
  </si>
  <si>
    <t xml:space="preserve"> J2/11</t>
  </si>
  <si>
    <t xml:space="preserve"> Ground output to the connector</t>
  </si>
  <si>
    <t>3.3V</t>
  </si>
  <si>
    <t xml:space="preserve"> J2/12</t>
  </si>
  <si>
    <t xml:space="preserve"> 3.3V power to the connector</t>
  </si>
  <si>
    <t>VIN</t>
  </si>
  <si>
    <t xml:space="preserve"> J2/13</t>
  </si>
  <si>
    <t xml:space="preserve"> User power into to the CYC1000</t>
  </si>
  <si>
    <t>5V</t>
  </si>
  <si>
    <t xml:space="preserve"> J2/14</t>
  </si>
  <si>
    <t xml:space="preserve"> 5V power to the connector</t>
  </si>
  <si>
    <r>
      <rPr>
        <sz val="10"/>
        <color theme="1"/>
        <rFont val="Calibri"/>
        <charset val="134"/>
        <scheme val="minor"/>
      </rPr>
      <t>3.3.7 PMOD Connector</t>
    </r>
  </si>
  <si>
    <t>PIO_01</t>
  </si>
  <si>
    <t xml:space="preserve"> PIN_F13</t>
  </si>
  <si>
    <t xml:space="preserve"> PMOD Pin 1</t>
  </si>
  <si>
    <t>PIO_02</t>
  </si>
  <si>
    <t xml:space="preserve"> PIN_F15</t>
  </si>
  <si>
    <t xml:space="preserve"> PMOD Pin 2</t>
  </si>
  <si>
    <t>PIO_03</t>
  </si>
  <si>
    <t xml:space="preserve"> PIN_F16</t>
  </si>
  <si>
    <t xml:space="preserve"> PMOD Pin 3</t>
  </si>
  <si>
    <t>PIO_04</t>
  </si>
  <si>
    <t xml:space="preserve"> PIN_D16</t>
  </si>
  <si>
    <t xml:space="preserve"> PMOD Pin 4</t>
  </si>
  <si>
    <t>PIO_05</t>
  </si>
  <si>
    <t xml:space="preserve"> PIN_D15</t>
  </si>
  <si>
    <t xml:space="preserve"> PMOD Pin 5</t>
  </si>
  <si>
    <t>PIO_06</t>
  </si>
  <si>
    <t xml:space="preserve"> PIN_C15</t>
  </si>
  <si>
    <t xml:space="preserve"> PMOD Pin 6</t>
  </si>
  <si>
    <t>PIO_07</t>
  </si>
  <si>
    <t xml:space="preserve"> PIN_B16</t>
  </si>
  <si>
    <t xml:space="preserve"> PMOD Pin 7</t>
  </si>
  <si>
    <t>PIO_08</t>
  </si>
  <si>
    <t xml:space="preserve"> PIN_C16</t>
  </si>
  <si>
    <t xml:space="preserve"> PMOD Pin 8</t>
  </si>
  <si>
    <t xml:space="preserve"> Ground</t>
  </si>
  <si>
    <t xml:space="preserve"> 3.3 V Power to PMOD</t>
  </si>
  <si>
    <r>
      <rPr>
        <sz val="10"/>
        <color theme="1"/>
        <rFont val="Calibri"/>
        <charset val="134"/>
        <scheme val="minor"/>
      </rPr>
      <t>3.3.8 User I/O</t>
    </r>
  </si>
  <si>
    <t xml:space="preserve"> PIN_T12</t>
  </si>
  <si>
    <t xml:space="preserve"> GPIO</t>
  </si>
  <si>
    <t>AIN7</t>
  </si>
  <si>
    <t xml:space="preserve"> PIN_R11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</si>
</sst>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F7" sqref="F7"/>
    </sheetView>
  </sheetViews>
  <sheetFormatPr defaultColWidth="8.88888888888889" defaultRowHeight="13.8"/>
  <cols>
    <col min="1" max="1" width="15.1111111111111" style="1" customWidth="1"/>
    <col min="2" max="3" width="8.88888888888889" style="1"/>
    <col min="4" max="4" width="13.6666666666667" style="1" customWidth="1"/>
    <col min="5" max="5" width="13.8888888888889" style="1" customWidth="1"/>
    <col min="6" max="6" width="17.3333333333333" style="1" customWidth="1"/>
    <col min="7" max="7" width="17.2222222222222" style="1" customWidth="1"/>
    <col min="8" max="8" width="8.88888888888889" style="1"/>
    <col min="9" max="9" width="24.1111111111111" style="1" customWidth="1"/>
    <col min="10" max="16384" width="8.88888888888889" style="1"/>
  </cols>
  <sheetData>
    <row r="1" spans="1:9">
      <c r="A1" s="3" t="s">
        <v>0</v>
      </c>
      <c r="B1" s="3"/>
      <c r="C1" s="3"/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>
      <c r="A2" s="3" t="s">
        <v>7</v>
      </c>
      <c r="B2" s="3">
        <v>32</v>
      </c>
      <c r="C2" s="3"/>
      <c r="D2" s="3" t="s">
        <v>8</v>
      </c>
      <c r="E2" s="3" t="s">
        <v>9</v>
      </c>
      <c r="F2" s="3" t="s">
        <v>10</v>
      </c>
      <c r="G2" s="1" t="s">
        <v>11</v>
      </c>
      <c r="H2" s="3">
        <v>0</v>
      </c>
      <c r="I2" s="6" t="s">
        <v>12</v>
      </c>
    </row>
    <row r="3" spans="1:9">
      <c r="A3" s="3" t="s">
        <v>13</v>
      </c>
      <c r="B3" s="3" t="s">
        <v>14</v>
      </c>
      <c r="C3" s="3"/>
      <c r="D3" s="3" t="s">
        <v>15</v>
      </c>
      <c r="E3" s="3" t="s">
        <v>16</v>
      </c>
      <c r="F3" s="3" t="s">
        <v>17</v>
      </c>
      <c r="G3" s="1" t="s">
        <v>18</v>
      </c>
      <c r="H3" s="3">
        <v>30</v>
      </c>
      <c r="I3" s="6"/>
    </row>
    <row r="4" spans="1:9">
      <c r="A4" s="3"/>
      <c r="B4" s="3"/>
      <c r="C4" s="3"/>
      <c r="D4" s="3" t="s">
        <v>8</v>
      </c>
      <c r="E4" s="3" t="s">
        <v>19</v>
      </c>
      <c r="F4" s="3" t="s">
        <v>20</v>
      </c>
      <c r="G4" s="3" t="s">
        <v>21</v>
      </c>
      <c r="H4" s="3">
        <v>2</v>
      </c>
      <c r="I4" s="6" t="s">
        <v>22</v>
      </c>
    </row>
    <row r="5" spans="3:9">
      <c r="C5" s="3"/>
      <c r="D5" s="3" t="s">
        <v>8</v>
      </c>
      <c r="E5" s="3" t="s">
        <v>23</v>
      </c>
      <c r="F5" s="3" t="s">
        <v>24</v>
      </c>
      <c r="G5" s="3" t="s">
        <v>25</v>
      </c>
      <c r="H5" s="3">
        <v>1</v>
      </c>
      <c r="I5" s="6" t="s">
        <v>22</v>
      </c>
    </row>
    <row r="6" spans="1:9">
      <c r="A6" s="3"/>
      <c r="B6" s="3"/>
      <c r="C6" s="3"/>
      <c r="D6" s="3" t="s">
        <v>8</v>
      </c>
      <c r="E6" s="3" t="s">
        <v>26</v>
      </c>
      <c r="F6" s="3" t="s">
        <v>27</v>
      </c>
      <c r="G6" s="3" t="s">
        <v>28</v>
      </c>
      <c r="H6" s="3">
        <v>3</v>
      </c>
      <c r="I6" s="6" t="s">
        <v>22</v>
      </c>
    </row>
    <row r="7" spans="1:9">
      <c r="A7" s="3"/>
      <c r="B7" s="3"/>
      <c r="C7" s="3"/>
      <c r="D7" s="3" t="s">
        <v>8</v>
      </c>
      <c r="E7" s="3" t="s">
        <v>29</v>
      </c>
      <c r="F7" s="3" t="s">
        <v>30</v>
      </c>
      <c r="G7" s="3" t="s">
        <v>31</v>
      </c>
      <c r="H7" s="3">
        <v>6</v>
      </c>
      <c r="I7" s="6" t="s">
        <v>22</v>
      </c>
    </row>
    <row r="8" spans="1:9">
      <c r="A8" s="3"/>
      <c r="B8" s="3"/>
      <c r="C8" s="3"/>
      <c r="D8" s="3" t="s">
        <v>8</v>
      </c>
      <c r="E8" s="3" t="s">
        <v>32</v>
      </c>
      <c r="F8" s="3" t="s">
        <v>33</v>
      </c>
      <c r="G8" s="3" t="s">
        <v>34</v>
      </c>
      <c r="H8" s="3">
        <v>4</v>
      </c>
      <c r="I8" s="6" t="s">
        <v>22</v>
      </c>
    </row>
    <row r="9" spans="1:9">
      <c r="A9" s="3"/>
      <c r="B9" s="3"/>
      <c r="C9" s="3"/>
      <c r="D9" s="3" t="s">
        <v>8</v>
      </c>
      <c r="E9" s="3" t="s">
        <v>35</v>
      </c>
      <c r="F9" s="3" t="s">
        <v>36</v>
      </c>
      <c r="G9" s="3" t="s">
        <v>37</v>
      </c>
      <c r="H9" s="3">
        <v>5</v>
      </c>
      <c r="I9" s="6" t="s">
        <v>22</v>
      </c>
    </row>
    <row r="10" spans="1:9">
      <c r="A10" s="3"/>
      <c r="B10" s="3"/>
      <c r="C10" s="3"/>
      <c r="D10" s="3" t="s">
        <v>8</v>
      </c>
      <c r="E10" s="3" t="s">
        <v>38</v>
      </c>
      <c r="F10" s="3"/>
      <c r="G10" s="3"/>
      <c r="H10" s="3">
        <v>7</v>
      </c>
      <c r="I10" s="6" t="s">
        <v>22</v>
      </c>
    </row>
    <row r="11" spans="1:9">
      <c r="A11" s="3"/>
      <c r="B11" s="3"/>
      <c r="C11" s="3"/>
      <c r="D11" s="3" t="s">
        <v>8</v>
      </c>
      <c r="E11" s="3" t="s">
        <v>39</v>
      </c>
      <c r="F11" s="3"/>
      <c r="G11" s="3"/>
      <c r="H11" s="3">
        <v>8</v>
      </c>
      <c r="I11" s="6" t="s">
        <v>22</v>
      </c>
    </row>
    <row r="12" spans="1:9">
      <c r="A12" s="3"/>
      <c r="B12" s="3"/>
      <c r="C12" s="3"/>
      <c r="D12" s="3" t="s">
        <v>8</v>
      </c>
      <c r="E12" s="3" t="s">
        <v>40</v>
      </c>
      <c r="F12" s="3"/>
      <c r="G12" s="3"/>
      <c r="H12" s="3">
        <v>9</v>
      </c>
      <c r="I12" s="6" t="s">
        <v>22</v>
      </c>
    </row>
    <row r="13" spans="1:9">
      <c r="A13" s="3"/>
      <c r="B13" s="3"/>
      <c r="C13" s="3"/>
      <c r="D13" s="3" t="s">
        <v>8</v>
      </c>
      <c r="E13" s="3" t="s">
        <v>41</v>
      </c>
      <c r="F13" s="3"/>
      <c r="G13" s="3"/>
      <c r="H13" s="3">
        <v>10</v>
      </c>
      <c r="I13" s="6" t="s">
        <v>22</v>
      </c>
    </row>
    <row r="14" spans="1:9">
      <c r="A14" s="3"/>
      <c r="B14" s="3"/>
      <c r="C14" s="3"/>
      <c r="D14" s="3" t="s">
        <v>8</v>
      </c>
      <c r="E14" s="3" t="s">
        <v>42</v>
      </c>
      <c r="F14" s="3"/>
      <c r="G14" s="3"/>
      <c r="H14" s="3">
        <v>11</v>
      </c>
      <c r="I14" s="6" t="s">
        <v>22</v>
      </c>
    </row>
    <row r="15" spans="1:9">
      <c r="A15" s="3"/>
      <c r="B15" s="3"/>
      <c r="C15" s="3"/>
      <c r="D15" s="3" t="s">
        <v>8</v>
      </c>
      <c r="E15" s="3" t="s">
        <v>43</v>
      </c>
      <c r="F15" s="3"/>
      <c r="G15" s="3"/>
      <c r="H15" s="3">
        <v>12</v>
      </c>
      <c r="I15" s="6" t="s">
        <v>22</v>
      </c>
    </row>
    <row r="16" spans="1:9">
      <c r="A16" s="3"/>
      <c r="B16" s="3"/>
      <c r="C16" s="3"/>
      <c r="D16" s="3" t="s">
        <v>8</v>
      </c>
      <c r="E16" s="3" t="s">
        <v>44</v>
      </c>
      <c r="F16" s="3"/>
      <c r="G16" s="3"/>
      <c r="H16" s="3">
        <v>13</v>
      </c>
      <c r="I16" s="6" t="s">
        <v>22</v>
      </c>
    </row>
    <row r="17" spans="1:9">
      <c r="A17" s="3"/>
      <c r="B17" s="3"/>
      <c r="C17" s="3"/>
      <c r="D17" s="3" t="s">
        <v>8</v>
      </c>
      <c r="E17" s="3" t="s">
        <v>45</v>
      </c>
      <c r="F17" s="3"/>
      <c r="G17" s="3"/>
      <c r="H17" s="3">
        <v>14</v>
      </c>
      <c r="I17" s="6" t="s">
        <v>22</v>
      </c>
    </row>
    <row r="18" spans="1:9">
      <c r="A18" s="3"/>
      <c r="B18" s="3"/>
      <c r="C18" s="3"/>
      <c r="D18" s="3" t="s">
        <v>8</v>
      </c>
      <c r="E18" s="3" t="s">
        <v>46</v>
      </c>
      <c r="F18" s="3"/>
      <c r="G18" s="3"/>
      <c r="H18" s="3">
        <v>15</v>
      </c>
      <c r="I18" s="6" t="s">
        <v>47</v>
      </c>
    </row>
    <row r="19" spans="1:9">
      <c r="A19" s="3"/>
      <c r="B19" s="3"/>
      <c r="C19" s="3"/>
      <c r="D19" s="3" t="s">
        <v>8</v>
      </c>
      <c r="E19" s="3" t="s">
        <v>48</v>
      </c>
      <c r="F19" s="3" t="s">
        <v>49</v>
      </c>
      <c r="G19" s="3" t="s">
        <v>50</v>
      </c>
      <c r="H19" s="3">
        <v>16</v>
      </c>
      <c r="I19" s="6" t="s">
        <v>51</v>
      </c>
    </row>
    <row r="20" spans="1:9">
      <c r="A20" s="3"/>
      <c r="B20" s="3"/>
      <c r="C20" s="3"/>
      <c r="D20" s="3" t="s">
        <v>8</v>
      </c>
      <c r="E20" s="3" t="s">
        <v>52</v>
      </c>
      <c r="F20" s="3" t="s">
        <v>53</v>
      </c>
      <c r="G20" s="3" t="s">
        <v>54</v>
      </c>
      <c r="H20" s="3">
        <v>17</v>
      </c>
      <c r="I20" s="6" t="s">
        <v>55</v>
      </c>
    </row>
    <row r="21" spans="1:9">
      <c r="A21" s="3"/>
      <c r="B21" s="3"/>
      <c r="C21" s="3"/>
      <c r="D21" s="3" t="s">
        <v>8</v>
      </c>
      <c r="E21" s="3" t="s">
        <v>56</v>
      </c>
      <c r="F21" s="3"/>
      <c r="G21" s="3"/>
      <c r="H21" s="3">
        <v>18</v>
      </c>
      <c r="I21" s="6" t="s">
        <v>57</v>
      </c>
    </row>
    <row r="22" spans="1:9">
      <c r="A22" s="3"/>
      <c r="B22" s="3"/>
      <c r="C22" s="3"/>
      <c r="D22" s="3" t="s">
        <v>8</v>
      </c>
      <c r="E22" s="3" t="s">
        <v>58</v>
      </c>
      <c r="F22" s="3"/>
      <c r="G22" s="3"/>
      <c r="H22" s="3">
        <v>19</v>
      </c>
      <c r="I22" s="6" t="s">
        <v>59</v>
      </c>
    </row>
    <row r="23" spans="1:9">
      <c r="A23" s="3"/>
      <c r="B23" s="3"/>
      <c r="C23" s="3"/>
      <c r="D23" s="3" t="s">
        <v>8</v>
      </c>
      <c r="E23" s="3" t="s">
        <v>60</v>
      </c>
      <c r="F23" s="3"/>
      <c r="G23" s="3"/>
      <c r="H23" s="3">
        <v>20</v>
      </c>
      <c r="I23" s="6" t="s">
        <v>61</v>
      </c>
    </row>
    <row r="24" spans="1:9">
      <c r="A24" s="3"/>
      <c r="B24" s="3"/>
      <c r="C24" s="3"/>
      <c r="D24" s="3" t="s">
        <v>8</v>
      </c>
      <c r="E24" s="3" t="s">
        <v>62</v>
      </c>
      <c r="F24" s="3"/>
      <c r="G24" s="3"/>
      <c r="H24" s="3">
        <v>21</v>
      </c>
      <c r="I24" s="6" t="s">
        <v>63</v>
      </c>
    </row>
    <row r="25" spans="1:9">
      <c r="A25" s="3"/>
      <c r="B25" s="3"/>
      <c r="C25" s="3"/>
      <c r="D25" s="3" t="s">
        <v>64</v>
      </c>
      <c r="E25" s="3" t="s">
        <v>65</v>
      </c>
      <c r="F25" s="3"/>
      <c r="G25" s="3"/>
      <c r="H25" s="3">
        <v>22</v>
      </c>
      <c r="I25" s="6" t="s">
        <v>66</v>
      </c>
    </row>
    <row r="26" spans="1:9">
      <c r="A26" s="3"/>
      <c r="B26" s="3"/>
      <c r="C26" s="3"/>
      <c r="D26" s="3" t="s">
        <v>64</v>
      </c>
      <c r="E26" s="3" t="s">
        <v>67</v>
      </c>
      <c r="F26" s="3"/>
      <c r="G26" s="3"/>
      <c r="H26" s="3">
        <v>23</v>
      </c>
      <c r="I26" s="6"/>
    </row>
    <row r="27" spans="1:9">
      <c r="A27" s="3"/>
      <c r="B27" s="3"/>
      <c r="C27" s="3"/>
      <c r="D27" s="3" t="s">
        <v>64</v>
      </c>
      <c r="E27" s="3" t="s">
        <v>68</v>
      </c>
      <c r="F27" s="3"/>
      <c r="G27" s="3"/>
      <c r="H27" s="3">
        <v>24</v>
      </c>
      <c r="I27" s="6"/>
    </row>
    <row r="28" spans="1:9">
      <c r="A28" s="3"/>
      <c r="B28" s="3"/>
      <c r="C28" s="3"/>
      <c r="D28" s="3" t="s">
        <v>64</v>
      </c>
      <c r="E28" s="3" t="s">
        <v>69</v>
      </c>
      <c r="F28" s="3"/>
      <c r="G28" s="3"/>
      <c r="H28" s="3">
        <v>25</v>
      </c>
      <c r="I28" s="6"/>
    </row>
    <row r="29" spans="1:9">
      <c r="A29" s="3"/>
      <c r="B29" s="3"/>
      <c r="C29" s="3"/>
      <c r="D29" s="3" t="s">
        <v>64</v>
      </c>
      <c r="E29" s="3" t="s">
        <v>70</v>
      </c>
      <c r="F29" s="3"/>
      <c r="G29" s="3"/>
      <c r="H29" s="3">
        <v>26</v>
      </c>
      <c r="I29" s="6"/>
    </row>
    <row r="30" spans="1:9">
      <c r="A30" s="3"/>
      <c r="B30" s="3"/>
      <c r="C30" s="3"/>
      <c r="D30" s="3" t="s">
        <v>64</v>
      </c>
      <c r="E30" s="3" t="s">
        <v>71</v>
      </c>
      <c r="F30" s="3"/>
      <c r="G30" s="3"/>
      <c r="H30" s="3">
        <v>27</v>
      </c>
      <c r="I30" s="6"/>
    </row>
    <row r="31" spans="1:9">
      <c r="A31" s="3"/>
      <c r="B31" s="3"/>
      <c r="C31" s="3"/>
      <c r="D31" s="3" t="s">
        <v>64</v>
      </c>
      <c r="E31" s="3" t="s">
        <v>72</v>
      </c>
      <c r="F31" s="3"/>
      <c r="G31" s="3"/>
      <c r="H31" s="3">
        <v>28</v>
      </c>
      <c r="I31" s="6"/>
    </row>
    <row r="32" spans="1:9">
      <c r="A32" s="3"/>
      <c r="B32" s="3"/>
      <c r="C32" s="3"/>
      <c r="D32" s="3" t="s">
        <v>64</v>
      </c>
      <c r="E32" s="3" t="s">
        <v>73</v>
      </c>
      <c r="F32" s="3"/>
      <c r="G32" s="3"/>
      <c r="H32" s="3">
        <v>29</v>
      </c>
      <c r="I32" s="6"/>
    </row>
    <row r="33" spans="1:9">
      <c r="A33" s="3"/>
      <c r="B33" s="3"/>
      <c r="C33" s="3"/>
      <c r="D33" s="3" t="s">
        <v>15</v>
      </c>
      <c r="E33" s="3" t="s">
        <v>74</v>
      </c>
      <c r="F33" s="3"/>
      <c r="G33" s="3"/>
      <c r="H33" s="3">
        <v>31</v>
      </c>
      <c r="I33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N37"/>
  <sheetViews>
    <sheetView workbookViewId="0">
      <selection activeCell="F5" sqref="F5"/>
    </sheetView>
  </sheetViews>
  <sheetFormatPr defaultColWidth="8.88888888888889" defaultRowHeight="13.8"/>
  <cols>
    <col min="4" max="4" width="10.2222222222222" customWidth="1"/>
    <col min="5" max="5" width="18.5555555555556" style="1" customWidth="1"/>
    <col min="6" max="6" width="14.5555555555556" customWidth="1"/>
    <col min="7" max="7" width="17.8888888888889" customWidth="1"/>
    <col min="8" max="8" width="8.77777777777778" customWidth="1"/>
    <col min="9" max="9" width="13.7777777777778" customWidth="1"/>
    <col min="10" max="10" width="19" customWidth="1"/>
    <col min="11" max="11" width="15.6666666666667" customWidth="1"/>
  </cols>
  <sheetData>
    <row r="5" spans="4:14"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L5" s="2" t="s">
        <v>82</v>
      </c>
      <c r="M5" s="2" t="s">
        <v>83</v>
      </c>
      <c r="N5" s="2" t="s">
        <v>84</v>
      </c>
    </row>
    <row r="6" spans="4:14">
      <c r="D6" s="2"/>
      <c r="E6" s="3" t="s">
        <v>8</v>
      </c>
      <c r="F6" s="2"/>
      <c r="G6" s="4" t="str">
        <f>_xlfn.CONCAT(J6,"_",H6)</f>
        <v>DDS DIO0_DB0</v>
      </c>
      <c r="H6" s="2" t="s">
        <v>85</v>
      </c>
      <c r="I6" s="2" t="s">
        <v>86</v>
      </c>
      <c r="J6" s="2" t="s">
        <v>87</v>
      </c>
      <c r="L6" s="2"/>
      <c r="M6" s="2"/>
      <c r="N6" s="2"/>
    </row>
    <row r="7" spans="4:14">
      <c r="D7" s="2"/>
      <c r="E7" s="3" t="s">
        <v>8</v>
      </c>
      <c r="F7" s="2"/>
      <c r="G7" s="4" t="str">
        <f t="shared" ref="G7:G22" si="0">_xlfn.CONCAT(J7,"_",H7)</f>
        <v>DDS DIO0_DB1</v>
      </c>
      <c r="H7" s="2" t="s">
        <v>88</v>
      </c>
      <c r="I7" s="2" t="s">
        <v>86</v>
      </c>
      <c r="J7" s="2" t="s">
        <v>87</v>
      </c>
      <c r="L7" s="2"/>
      <c r="M7" s="2"/>
      <c r="N7" s="2"/>
    </row>
    <row r="8" spans="4:14">
      <c r="D8" s="2"/>
      <c r="E8" s="3" t="s">
        <v>8</v>
      </c>
      <c r="F8" s="2"/>
      <c r="G8" s="4" t="str">
        <f t="shared" si="0"/>
        <v>DDS DIO0_DB2</v>
      </c>
      <c r="H8" s="2" t="s">
        <v>89</v>
      </c>
      <c r="I8" s="2" t="s">
        <v>86</v>
      </c>
      <c r="J8" s="2" t="s">
        <v>87</v>
      </c>
      <c r="L8" s="2"/>
      <c r="M8" s="2"/>
      <c r="N8" s="2"/>
    </row>
    <row r="9" spans="4:14">
      <c r="D9" s="2"/>
      <c r="E9" s="3" t="s">
        <v>8</v>
      </c>
      <c r="F9" s="2"/>
      <c r="G9" s="4" t="str">
        <f t="shared" si="0"/>
        <v>DDS DIO0_DB3</v>
      </c>
      <c r="H9" s="2" t="s">
        <v>90</v>
      </c>
      <c r="I9" s="2" t="s">
        <v>86</v>
      </c>
      <c r="J9" s="2" t="s">
        <v>87</v>
      </c>
      <c r="L9" s="2"/>
      <c r="M9" s="2"/>
      <c r="N9" s="2"/>
    </row>
    <row r="10" spans="4:14">
      <c r="D10" s="2"/>
      <c r="E10" s="3" t="s">
        <v>8</v>
      </c>
      <c r="F10" s="2"/>
      <c r="G10" s="4" t="str">
        <f t="shared" si="0"/>
        <v>DDS DIO0_DB4</v>
      </c>
      <c r="H10" s="2" t="s">
        <v>91</v>
      </c>
      <c r="I10" s="2" t="s">
        <v>86</v>
      </c>
      <c r="J10" s="2" t="s">
        <v>87</v>
      </c>
      <c r="L10" s="2"/>
      <c r="M10" s="2"/>
      <c r="N10" s="2"/>
    </row>
    <row r="11" spans="4:14">
      <c r="D11" s="2"/>
      <c r="E11" s="3" t="s">
        <v>8</v>
      </c>
      <c r="F11" s="2"/>
      <c r="G11" s="4" t="str">
        <f t="shared" si="0"/>
        <v>DDS DIO0_DB5</v>
      </c>
      <c r="H11" s="2" t="s">
        <v>92</v>
      </c>
      <c r="I11" s="2" t="s">
        <v>86</v>
      </c>
      <c r="J11" s="2" t="s">
        <v>87</v>
      </c>
      <c r="L11" s="2"/>
      <c r="M11" s="2"/>
      <c r="N11" s="2"/>
    </row>
    <row r="12" spans="4:14">
      <c r="D12" s="2"/>
      <c r="E12" s="3" t="s">
        <v>8</v>
      </c>
      <c r="F12" s="2"/>
      <c r="G12" s="4" t="str">
        <f t="shared" si="0"/>
        <v>DDS DIO0_DB6</v>
      </c>
      <c r="H12" s="2" t="s">
        <v>93</v>
      </c>
      <c r="I12" s="2" t="s">
        <v>86</v>
      </c>
      <c r="J12" s="2" t="s">
        <v>87</v>
      </c>
      <c r="L12" s="2"/>
      <c r="M12" s="2"/>
      <c r="N12" s="2"/>
    </row>
    <row r="13" spans="4:14">
      <c r="D13" s="2"/>
      <c r="E13" s="3" t="s">
        <v>8</v>
      </c>
      <c r="F13" s="2"/>
      <c r="G13" s="4" t="str">
        <f t="shared" si="0"/>
        <v>DDS DIO0_DB7</v>
      </c>
      <c r="H13" s="2" t="s">
        <v>94</v>
      </c>
      <c r="I13" s="2" t="s">
        <v>86</v>
      </c>
      <c r="J13" s="2" t="s">
        <v>87</v>
      </c>
      <c r="L13" s="2"/>
      <c r="M13" s="2"/>
      <c r="N13" s="2"/>
    </row>
    <row r="14" spans="4:14">
      <c r="D14" s="2"/>
      <c r="E14" s="3" t="s">
        <v>8</v>
      </c>
      <c r="F14" s="2"/>
      <c r="G14" s="4" t="str">
        <f t="shared" si="0"/>
        <v>DDS DIO0_DB8</v>
      </c>
      <c r="H14" s="2" t="s">
        <v>95</v>
      </c>
      <c r="I14" s="2" t="s">
        <v>86</v>
      </c>
      <c r="J14" s="2" t="s">
        <v>87</v>
      </c>
      <c r="L14" s="2"/>
      <c r="M14" s="2"/>
      <c r="N14" s="2"/>
    </row>
    <row r="15" spans="4:14">
      <c r="D15" s="2"/>
      <c r="E15" s="3" t="s">
        <v>8</v>
      </c>
      <c r="F15" s="2"/>
      <c r="G15" s="4" t="str">
        <f t="shared" si="0"/>
        <v>DDS DIO0_DB9</v>
      </c>
      <c r="H15" s="2" t="s">
        <v>96</v>
      </c>
      <c r="I15" s="2" t="s">
        <v>86</v>
      </c>
      <c r="J15" s="2" t="s">
        <v>87</v>
      </c>
      <c r="L15" s="2"/>
      <c r="M15" s="2"/>
      <c r="N15" s="2"/>
    </row>
    <row r="16" spans="4:14">
      <c r="D16" s="2"/>
      <c r="E16" s="3" t="s">
        <v>8</v>
      </c>
      <c r="F16" s="2"/>
      <c r="G16" s="4" t="str">
        <f t="shared" si="0"/>
        <v>DDS DIO0_DB10</v>
      </c>
      <c r="H16" s="2" t="s">
        <v>97</v>
      </c>
      <c r="I16" s="2" t="s">
        <v>86</v>
      </c>
      <c r="J16" s="2" t="s">
        <v>87</v>
      </c>
      <c r="L16" s="2"/>
      <c r="M16" s="2"/>
      <c r="N16" s="2"/>
    </row>
    <row r="17" spans="4:14">
      <c r="D17" s="2"/>
      <c r="E17" s="3" t="s">
        <v>8</v>
      </c>
      <c r="F17" s="2"/>
      <c r="G17" s="4" t="str">
        <f t="shared" si="0"/>
        <v>DDS DIO0_DB11</v>
      </c>
      <c r="H17" s="2" t="s">
        <v>98</v>
      </c>
      <c r="I17" s="2" t="s">
        <v>86</v>
      </c>
      <c r="J17" s="2" t="s">
        <v>87</v>
      </c>
      <c r="L17" s="2"/>
      <c r="M17" s="2"/>
      <c r="N17" s="2"/>
    </row>
    <row r="18" spans="4:14">
      <c r="D18" s="2"/>
      <c r="E18" s="3" t="s">
        <v>8</v>
      </c>
      <c r="F18" s="2"/>
      <c r="G18" s="4" t="str">
        <f t="shared" si="0"/>
        <v>DDS DIO0_DB12</v>
      </c>
      <c r="H18" s="2" t="s">
        <v>99</v>
      </c>
      <c r="I18" s="2" t="s">
        <v>86</v>
      </c>
      <c r="J18" s="2" t="s">
        <v>87</v>
      </c>
      <c r="L18" s="2"/>
      <c r="M18" s="2"/>
      <c r="N18" s="2"/>
    </row>
    <row r="19" spans="4:14">
      <c r="D19" s="2"/>
      <c r="E19" s="3" t="s">
        <v>8</v>
      </c>
      <c r="F19" s="2"/>
      <c r="G19" s="4" t="str">
        <f t="shared" si="0"/>
        <v>DDS DIO0_DB13</v>
      </c>
      <c r="H19" s="2" t="s">
        <v>100</v>
      </c>
      <c r="I19" s="2" t="s">
        <v>86</v>
      </c>
      <c r="J19" s="2" t="s">
        <v>87</v>
      </c>
      <c r="L19" s="2"/>
      <c r="M19" s="2"/>
      <c r="N19" s="2"/>
    </row>
    <row r="20" spans="4:14">
      <c r="D20" s="2"/>
      <c r="E20" s="3" t="s">
        <v>8</v>
      </c>
      <c r="F20" s="2"/>
      <c r="G20" s="4" t="str">
        <f t="shared" si="0"/>
        <v>DDS DIO1_DB14</v>
      </c>
      <c r="H20" s="2" t="s">
        <v>101</v>
      </c>
      <c r="I20" s="2" t="s">
        <v>102</v>
      </c>
      <c r="J20" s="2" t="s">
        <v>103</v>
      </c>
      <c r="L20" s="2"/>
      <c r="M20" s="2"/>
      <c r="N20" s="2"/>
    </row>
    <row r="21" spans="4:14">
      <c r="D21" s="2"/>
      <c r="E21" s="3" t="s">
        <v>8</v>
      </c>
      <c r="F21" s="2"/>
      <c r="G21" s="4" t="str">
        <f t="shared" si="0"/>
        <v>DDS DIO1_DB15</v>
      </c>
      <c r="H21" s="2" t="s">
        <v>104</v>
      </c>
      <c r="I21" s="2" t="s">
        <v>86</v>
      </c>
      <c r="J21" s="2" t="s">
        <v>103</v>
      </c>
      <c r="L21" s="2"/>
      <c r="M21" s="2"/>
      <c r="N21" s="2"/>
    </row>
    <row r="22" spans="4:14">
      <c r="D22" s="2"/>
      <c r="E22" s="3" t="s">
        <v>8</v>
      </c>
      <c r="F22" s="2"/>
      <c r="G22" s="4" t="str">
        <f t="shared" si="0"/>
        <v>DDS DIO1_CLK</v>
      </c>
      <c r="H22" s="2" t="s">
        <v>105</v>
      </c>
      <c r="I22" s="2" t="s">
        <v>86</v>
      </c>
      <c r="J22" s="2" t="s">
        <v>103</v>
      </c>
      <c r="L22" s="2"/>
      <c r="M22" s="2"/>
      <c r="N22" s="2"/>
    </row>
    <row r="23" spans="4:14">
      <c r="D23" s="2"/>
      <c r="E23" s="3" t="s">
        <v>8</v>
      </c>
      <c r="F23" s="2"/>
      <c r="G23" s="4" t="str">
        <f>_xlfn.CONCAT(J23,"_",H23)</f>
        <v>DDS AMPT_SYNC</v>
      </c>
      <c r="H23" s="2" t="s">
        <v>106</v>
      </c>
      <c r="I23" s="2" t="s">
        <v>107</v>
      </c>
      <c r="J23" s="2" t="s">
        <v>108</v>
      </c>
      <c r="K23" s="2"/>
      <c r="L23" s="2"/>
      <c r="M23" s="2"/>
      <c r="N23" s="2"/>
    </row>
    <row r="24" spans="4:14">
      <c r="D24" s="2"/>
      <c r="E24" s="3" t="s">
        <v>8</v>
      </c>
      <c r="F24" s="2"/>
      <c r="G24" s="4" t="str">
        <f>_xlfn.CONCAT(J24,"_",H24)</f>
        <v>DDS AMPT_SCK</v>
      </c>
      <c r="H24" s="2" t="s">
        <v>109</v>
      </c>
      <c r="I24" s="2" t="s">
        <v>107</v>
      </c>
      <c r="J24" s="2" t="s">
        <v>108</v>
      </c>
      <c r="K24" s="2"/>
      <c r="L24" s="2"/>
      <c r="M24" s="2"/>
      <c r="N24" s="2"/>
    </row>
    <row r="25" spans="4:14">
      <c r="D25" s="2"/>
      <c r="E25" s="3" t="s">
        <v>8</v>
      </c>
      <c r="F25" s="2"/>
      <c r="G25" s="4" t="str">
        <f>_xlfn.CONCAT(J25,"_",H25)</f>
        <v>DDS AMPT_SDI</v>
      </c>
      <c r="H25" s="2" t="s">
        <v>110</v>
      </c>
      <c r="I25" s="2" t="s">
        <v>107</v>
      </c>
      <c r="J25" s="2" t="s">
        <v>108</v>
      </c>
      <c r="K25" s="2"/>
      <c r="L25" s="2"/>
      <c r="M25" s="2"/>
      <c r="N25" s="2"/>
    </row>
    <row r="26" spans="4:14">
      <c r="D26" s="2"/>
      <c r="E26" s="3" t="s">
        <v>8</v>
      </c>
      <c r="F26" s="2"/>
      <c r="G26" s="4" t="str">
        <f>_xlfn.CONCAT(J26,"_",H26)</f>
        <v>DDS AMPT_SDO</v>
      </c>
      <c r="H26" s="2" t="s">
        <v>111</v>
      </c>
      <c r="I26" s="2" t="s">
        <v>107</v>
      </c>
      <c r="J26" s="2" t="s">
        <v>108</v>
      </c>
      <c r="K26" s="2"/>
      <c r="L26" s="2"/>
      <c r="M26" s="2"/>
      <c r="N26" s="2"/>
    </row>
    <row r="27" spans="4:14">
      <c r="D27" s="2"/>
      <c r="E27" s="3" t="s">
        <v>8</v>
      </c>
      <c r="F27" s="2"/>
      <c r="G27" s="4" t="str">
        <f t="shared" ref="G27:G34" si="1">_xlfn.CONCAT(J27,"_",H27)</f>
        <v>PIEZO DAC1 SPI_nCS</v>
      </c>
      <c r="H27" s="2" t="s">
        <v>112</v>
      </c>
      <c r="I27" s="2" t="s">
        <v>113</v>
      </c>
      <c r="J27" s="2" t="s">
        <v>114</v>
      </c>
      <c r="K27" s="2"/>
      <c r="L27" s="2"/>
      <c r="M27" s="2"/>
      <c r="N27" s="2"/>
    </row>
    <row r="28" spans="4:14">
      <c r="D28" s="2"/>
      <c r="E28" s="3" t="s">
        <v>64</v>
      </c>
      <c r="F28" s="2"/>
      <c r="G28" s="4" t="str">
        <f t="shared" si="1"/>
        <v>PIEZO DAC1 SPI_SDI</v>
      </c>
      <c r="H28" s="2" t="s">
        <v>110</v>
      </c>
      <c r="I28" s="2" t="s">
        <v>113</v>
      </c>
      <c r="J28" s="2" t="s">
        <v>114</v>
      </c>
      <c r="K28" s="2"/>
      <c r="L28" s="2"/>
      <c r="M28" s="2"/>
      <c r="N28" s="2"/>
    </row>
    <row r="29" spans="4:14">
      <c r="D29" s="2"/>
      <c r="E29" s="3" t="s">
        <v>64</v>
      </c>
      <c r="F29" s="2"/>
      <c r="G29" s="4" t="str">
        <f t="shared" si="1"/>
        <v>PIEZO DAC1 SPI_SCK</v>
      </c>
      <c r="H29" s="2" t="s">
        <v>109</v>
      </c>
      <c r="I29" s="2" t="s">
        <v>113</v>
      </c>
      <c r="J29" s="2" t="s">
        <v>114</v>
      </c>
      <c r="K29" s="2"/>
      <c r="L29" s="2"/>
      <c r="M29" s="2"/>
      <c r="N29" s="2"/>
    </row>
    <row r="30" spans="4:14">
      <c r="D30" s="2"/>
      <c r="E30" s="3" t="s">
        <v>64</v>
      </c>
      <c r="F30" s="2"/>
      <c r="G30" s="4" t="str">
        <f t="shared" si="1"/>
        <v>PIEZO DAC1 SPI_SRO</v>
      </c>
      <c r="H30" s="2" t="s">
        <v>115</v>
      </c>
      <c r="I30" s="2" t="s">
        <v>113</v>
      </c>
      <c r="J30" s="2" t="s">
        <v>114</v>
      </c>
      <c r="K30" s="2"/>
      <c r="L30" s="2"/>
      <c r="M30" s="2"/>
      <c r="N30" s="2"/>
    </row>
    <row r="31" spans="4:14">
      <c r="D31" s="2"/>
      <c r="E31" s="3" t="s">
        <v>64</v>
      </c>
      <c r="F31" s="2"/>
      <c r="G31" s="4" t="str">
        <f t="shared" si="1"/>
        <v>PIEZO DAC2 SPI_nCS</v>
      </c>
      <c r="H31" s="2" t="s">
        <v>112</v>
      </c>
      <c r="I31" s="2" t="s">
        <v>116</v>
      </c>
      <c r="J31" s="2" t="s">
        <v>117</v>
      </c>
      <c r="K31" s="2"/>
      <c r="L31" s="2"/>
      <c r="M31" s="2"/>
      <c r="N31" s="2"/>
    </row>
    <row r="32" spans="4:14">
      <c r="D32" s="2"/>
      <c r="E32" s="3" t="s">
        <v>64</v>
      </c>
      <c r="F32" s="2"/>
      <c r="G32" s="4" t="str">
        <f t="shared" si="1"/>
        <v>PIEZO DAC2 SPI_SDI</v>
      </c>
      <c r="H32" s="2" t="s">
        <v>110</v>
      </c>
      <c r="I32" s="2" t="s">
        <v>116</v>
      </c>
      <c r="J32" s="2" t="s">
        <v>117</v>
      </c>
      <c r="K32" s="2"/>
      <c r="L32" s="2"/>
      <c r="M32" s="2"/>
      <c r="N32" s="2"/>
    </row>
    <row r="33" spans="4:14">
      <c r="D33" s="2"/>
      <c r="E33" s="3" t="s">
        <v>64</v>
      </c>
      <c r="F33" s="2"/>
      <c r="G33" s="4" t="str">
        <f t="shared" si="1"/>
        <v>PIEZO DAC2 SPI_SCK</v>
      </c>
      <c r="H33" s="2" t="s">
        <v>109</v>
      </c>
      <c r="I33" s="2" t="s">
        <v>116</v>
      </c>
      <c r="J33" s="2" t="s">
        <v>117</v>
      </c>
      <c r="K33" s="2"/>
      <c r="L33" s="2"/>
      <c r="M33" s="2"/>
      <c r="N33" s="2"/>
    </row>
    <row r="34" spans="4:14">
      <c r="D34" s="2"/>
      <c r="E34" s="3" t="s">
        <v>64</v>
      </c>
      <c r="F34" s="2"/>
      <c r="G34" s="4" t="str">
        <f t="shared" si="1"/>
        <v>PIEZO DAC2 SPI_SRO</v>
      </c>
      <c r="H34" s="2" t="s">
        <v>115</v>
      </c>
      <c r="I34" s="2" t="s">
        <v>116</v>
      </c>
      <c r="J34" s="2" t="s">
        <v>117</v>
      </c>
      <c r="K34" s="2"/>
      <c r="L34" s="2"/>
      <c r="M34" s="2"/>
      <c r="N34" s="2"/>
    </row>
    <row r="35" spans="4:14">
      <c r="D35" s="2"/>
      <c r="E35" s="3" t="s">
        <v>64</v>
      </c>
      <c r="F35" s="2"/>
      <c r="G35" s="5"/>
      <c r="H35" s="2"/>
      <c r="I35" s="2"/>
      <c r="J35" s="2"/>
      <c r="K35" s="2"/>
      <c r="L35" s="2"/>
      <c r="M35" s="2"/>
      <c r="N35" s="2"/>
    </row>
    <row r="36" spans="4:14">
      <c r="D36" s="2"/>
      <c r="E36" s="3" t="s">
        <v>15</v>
      </c>
      <c r="F36" s="2"/>
      <c r="G36" s="2"/>
      <c r="H36" s="2"/>
      <c r="I36" s="2"/>
      <c r="J36" s="2"/>
      <c r="K36" s="2"/>
      <c r="L36" s="2"/>
      <c r="M36" s="2"/>
      <c r="N36" s="2"/>
    </row>
    <row r="37" spans="4:14">
      <c r="D37" s="2"/>
      <c r="E37" s="3" t="s">
        <v>15</v>
      </c>
      <c r="F37" s="2"/>
      <c r="G37" s="2"/>
      <c r="H37" s="2"/>
      <c r="I37" s="2"/>
      <c r="J37" s="2"/>
      <c r="K37" s="2"/>
      <c r="L37" s="2"/>
      <c r="M37" s="2"/>
      <c r="N37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workbookViewId="0">
      <selection activeCell="F3" sqref="F3"/>
    </sheetView>
  </sheetViews>
  <sheetFormatPr defaultColWidth="8.88888888888889" defaultRowHeight="13.8" outlineLevelCol="4"/>
  <cols>
    <col min="1" max="1" width="17.1111111111111" customWidth="1"/>
    <col min="2" max="2" width="12.6666666666667" customWidth="1"/>
    <col min="3" max="3" width="20.1111111111111" customWidth="1"/>
    <col min="4" max="4" width="29.2222222222222" customWidth="1"/>
    <col min="5" max="5" width="12.2222222222222" customWidth="1"/>
  </cols>
  <sheetData>
    <row r="1" spans="1:1">
      <c r="A1" t="s">
        <v>118</v>
      </c>
    </row>
    <row r="2" spans="1:5">
      <c r="A2" t="s">
        <v>119</v>
      </c>
      <c r="B2" t="s">
        <v>120</v>
      </c>
      <c r="C2" t="s">
        <v>121</v>
      </c>
      <c r="D2" t="s">
        <v>122</v>
      </c>
      <c r="E2" t="s">
        <v>123</v>
      </c>
    </row>
    <row r="3" spans="1:5">
      <c r="A3" t="s">
        <v>124</v>
      </c>
      <c r="B3" t="s">
        <v>125</v>
      </c>
      <c r="C3" t="s">
        <v>126</v>
      </c>
      <c r="D3" t="s">
        <v>127</v>
      </c>
      <c r="E3" t="s">
        <v>128</v>
      </c>
    </row>
    <row r="4" spans="1:5">
      <c r="A4" t="s">
        <v>10</v>
      </c>
      <c r="B4" t="s">
        <v>129</v>
      </c>
      <c r="C4" t="s">
        <v>130</v>
      </c>
      <c r="D4" t="s">
        <v>131</v>
      </c>
      <c r="E4" t="s">
        <v>128</v>
      </c>
    </row>
    <row r="5" spans="1:5">
      <c r="A5" t="s">
        <v>24</v>
      </c>
      <c r="B5" t="s">
        <v>132</v>
      </c>
      <c r="C5" t="s">
        <v>133</v>
      </c>
      <c r="D5" t="s">
        <v>134</v>
      </c>
      <c r="E5" t="s">
        <v>128</v>
      </c>
    </row>
    <row r="6" spans="1:5">
      <c r="A6" t="s">
        <v>20</v>
      </c>
      <c r="B6" t="s">
        <v>135</v>
      </c>
      <c r="C6" t="s">
        <v>136</v>
      </c>
      <c r="D6" t="s">
        <v>137</v>
      </c>
      <c r="E6" t="s">
        <v>128</v>
      </c>
    </row>
    <row r="7" spans="1:5">
      <c r="A7" t="s">
        <v>27</v>
      </c>
      <c r="B7" t="s">
        <v>138</v>
      </c>
      <c r="C7" t="s">
        <v>139</v>
      </c>
      <c r="D7" t="s">
        <v>140</v>
      </c>
      <c r="E7" t="s">
        <v>128</v>
      </c>
    </row>
    <row r="8" spans="1:5">
      <c r="A8" t="s">
        <v>33</v>
      </c>
      <c r="B8" t="s">
        <v>141</v>
      </c>
      <c r="C8" t="s">
        <v>142</v>
      </c>
      <c r="D8" t="s">
        <v>143</v>
      </c>
      <c r="E8" t="s">
        <v>128</v>
      </c>
    </row>
    <row r="9" spans="1:5">
      <c r="A9" t="s">
        <v>36</v>
      </c>
      <c r="B9" t="s">
        <v>144</v>
      </c>
      <c r="C9" t="s">
        <v>145</v>
      </c>
      <c r="D9" t="s">
        <v>146</v>
      </c>
      <c r="E9" t="s">
        <v>128</v>
      </c>
    </row>
    <row r="10" spans="1:5">
      <c r="A10" t="s">
        <v>30</v>
      </c>
      <c r="B10" t="s">
        <v>147</v>
      </c>
      <c r="C10" t="s">
        <v>148</v>
      </c>
      <c r="D10" t="s">
        <v>149</v>
      </c>
      <c r="E10" t="s">
        <v>128</v>
      </c>
    </row>
    <row r="11" spans="1:5">
      <c r="A11" t="s">
        <v>150</v>
      </c>
      <c r="B11" t="s">
        <v>151</v>
      </c>
      <c r="C11" t="s">
        <v>152</v>
      </c>
      <c r="D11" t="s">
        <v>153</v>
      </c>
      <c r="E11" t="s">
        <v>128</v>
      </c>
    </row>
    <row r="12" spans="1:5">
      <c r="A12" t="s">
        <v>154</v>
      </c>
      <c r="B12" t="s">
        <v>155</v>
      </c>
      <c r="C12" t="s">
        <v>156</v>
      </c>
      <c r="D12" t="s">
        <v>157</v>
      </c>
      <c r="E12" t="s">
        <v>128</v>
      </c>
    </row>
    <row r="13" spans="1:5">
      <c r="A13" t="s">
        <v>158</v>
      </c>
      <c r="B13" t="s">
        <v>159</v>
      </c>
      <c r="C13" t="s">
        <v>160</v>
      </c>
      <c r="D13" t="s">
        <v>161</v>
      </c>
      <c r="E13" t="s">
        <v>128</v>
      </c>
    </row>
    <row r="14" spans="1:5">
      <c r="A14" t="s">
        <v>162</v>
      </c>
      <c r="B14" t="s">
        <v>163</v>
      </c>
      <c r="C14" t="s">
        <v>164</v>
      </c>
      <c r="D14" t="s">
        <v>165</v>
      </c>
      <c r="E14" t="s">
        <v>128</v>
      </c>
    </row>
    <row r="15" spans="1:5">
      <c r="A15" t="s">
        <v>166</v>
      </c>
      <c r="B15" t="s">
        <v>167</v>
      </c>
      <c r="C15" t="s">
        <v>168</v>
      </c>
      <c r="D15" t="s">
        <v>169</v>
      </c>
      <c r="E15" t="s">
        <v>128</v>
      </c>
    </row>
    <row r="16" spans="1:5">
      <c r="A16" t="s">
        <v>170</v>
      </c>
      <c r="B16" t="s">
        <v>171</v>
      </c>
      <c r="C16" t="s">
        <v>172</v>
      </c>
      <c r="D16" t="s">
        <v>173</v>
      </c>
      <c r="E16" t="s">
        <v>128</v>
      </c>
    </row>
    <row r="17" spans="1:5">
      <c r="A17" t="s">
        <v>174</v>
      </c>
      <c r="B17" t="s">
        <v>175</v>
      </c>
      <c r="C17" t="s">
        <v>176</v>
      </c>
      <c r="D17" t="s">
        <v>177</v>
      </c>
      <c r="E17" t="s">
        <v>128</v>
      </c>
    </row>
    <row r="18" spans="1:5">
      <c r="A18" t="s">
        <v>178</v>
      </c>
      <c r="B18" t="s">
        <v>179</v>
      </c>
      <c r="C18" t="s">
        <v>180</v>
      </c>
      <c r="D18" t="s">
        <v>181</v>
      </c>
      <c r="E18" t="s">
        <v>128</v>
      </c>
    </row>
    <row r="20" spans="1:1">
      <c r="A20" t="s">
        <v>118</v>
      </c>
    </row>
    <row r="21" spans="1:5">
      <c r="A21" t="s">
        <v>182</v>
      </c>
      <c r="B21" t="s">
        <v>183</v>
      </c>
      <c r="C21" t="s">
        <v>184</v>
      </c>
      <c r="D21" t="s">
        <v>185</v>
      </c>
      <c r="E21" t="s">
        <v>128</v>
      </c>
    </row>
    <row r="22" spans="1:5">
      <c r="A22" t="s">
        <v>49</v>
      </c>
      <c r="B22" t="s">
        <v>186</v>
      </c>
      <c r="C22" t="s">
        <v>187</v>
      </c>
      <c r="D22" t="s">
        <v>188</v>
      </c>
      <c r="E22" t="s">
        <v>128</v>
      </c>
    </row>
    <row r="23" spans="1:5">
      <c r="A23" t="s">
        <v>53</v>
      </c>
      <c r="B23" t="s">
        <v>189</v>
      </c>
      <c r="C23" t="s">
        <v>190</v>
      </c>
      <c r="D23" t="s">
        <v>191</v>
      </c>
      <c r="E23" t="s">
        <v>128</v>
      </c>
    </row>
    <row r="24" spans="1:5">
      <c r="A24" t="s">
        <v>192</v>
      </c>
      <c r="B24" t="s">
        <v>193</v>
      </c>
      <c r="C24" t="s">
        <v>194</v>
      </c>
      <c r="D24" t="s">
        <v>195</v>
      </c>
      <c r="E24" t="s">
        <v>196</v>
      </c>
    </row>
    <row r="25" spans="1:5">
      <c r="A25" t="s">
        <v>197</v>
      </c>
      <c r="B25" t="s">
        <v>198</v>
      </c>
      <c r="C25" t="s">
        <v>199</v>
      </c>
      <c r="D25" t="s">
        <v>200</v>
      </c>
      <c r="E25" t="s">
        <v>128</v>
      </c>
    </row>
    <row r="26" spans="1:5">
      <c r="A26" t="s">
        <v>201</v>
      </c>
      <c r="B26" t="s">
        <v>202</v>
      </c>
      <c r="C26" t="s">
        <v>203</v>
      </c>
      <c r="D26" t="s">
        <v>204</v>
      </c>
      <c r="E26" t="s">
        <v>128</v>
      </c>
    </row>
    <row r="27" spans="1:5">
      <c r="A27" t="s">
        <v>205</v>
      </c>
      <c r="B27" t="s">
        <v>206</v>
      </c>
      <c r="C27" t="s">
        <v>207</v>
      </c>
      <c r="D27" t="s">
        <v>208</v>
      </c>
      <c r="E27" t="s">
        <v>128</v>
      </c>
    </row>
    <row r="28" spans="1:5">
      <c r="A28" t="s">
        <v>209</v>
      </c>
      <c r="B28" t="s">
        <v>210</v>
      </c>
      <c r="C28" t="s">
        <v>194</v>
      </c>
      <c r="D28" t="s">
        <v>211</v>
      </c>
      <c r="E28" t="s">
        <v>128</v>
      </c>
    </row>
    <row r="29" spans="1:5">
      <c r="A29" t="s">
        <v>212</v>
      </c>
      <c r="B29" t="s">
        <v>213</v>
      </c>
      <c r="C29" t="s">
        <v>199</v>
      </c>
      <c r="D29" t="s">
        <v>214</v>
      </c>
      <c r="E29" t="s">
        <v>128</v>
      </c>
    </row>
    <row r="30" spans="1:5">
      <c r="A30" t="s">
        <v>215</v>
      </c>
      <c r="B30" t="s">
        <v>216</v>
      </c>
      <c r="C30" t="s">
        <v>217</v>
      </c>
      <c r="D30" t="s">
        <v>218</v>
      </c>
      <c r="E30" t="s">
        <v>128</v>
      </c>
    </row>
    <row r="31" spans="1:5">
      <c r="A31" t="s">
        <v>219</v>
      </c>
      <c r="B31" t="s">
        <v>220</v>
      </c>
      <c r="C31" t="s">
        <v>221</v>
      </c>
      <c r="D31" t="s">
        <v>222</v>
      </c>
      <c r="E31" t="s">
        <v>220</v>
      </c>
    </row>
    <row r="32" spans="1:5">
      <c r="A32" t="s">
        <v>223</v>
      </c>
      <c r="B32" t="s">
        <v>220</v>
      </c>
      <c r="C32" t="s">
        <v>224</v>
      </c>
      <c r="D32" t="s">
        <v>225</v>
      </c>
      <c r="E32" t="s">
        <v>220</v>
      </c>
    </row>
    <row r="33" spans="1:5">
      <c r="A33" t="s">
        <v>226</v>
      </c>
      <c r="B33" t="s">
        <v>220</v>
      </c>
      <c r="C33" t="s">
        <v>227</v>
      </c>
      <c r="D33" t="s">
        <v>228</v>
      </c>
      <c r="E33" t="s">
        <v>220</v>
      </c>
    </row>
    <row r="34" spans="1:5">
      <c r="A34" t="s">
        <v>229</v>
      </c>
      <c r="B34" t="s">
        <v>220</v>
      </c>
      <c r="C34" t="s">
        <v>230</v>
      </c>
      <c r="D34" t="s">
        <v>231</v>
      </c>
      <c r="E34" t="s">
        <v>220</v>
      </c>
    </row>
    <row r="36" spans="1:1">
      <c r="A36" t="s">
        <v>232</v>
      </c>
    </row>
    <row r="37" spans="1:4">
      <c r="A37" t="s">
        <v>119</v>
      </c>
      <c r="B37" t="s">
        <v>120</v>
      </c>
      <c r="C37" t="s">
        <v>122</v>
      </c>
      <c r="D37" t="s">
        <v>123</v>
      </c>
    </row>
    <row r="38" spans="1:4">
      <c r="A38" t="s">
        <v>233</v>
      </c>
      <c r="B38" t="s">
        <v>234</v>
      </c>
      <c r="C38" t="s">
        <v>235</v>
      </c>
      <c r="D38" t="s">
        <v>128</v>
      </c>
    </row>
    <row r="39" spans="1:4">
      <c r="A39" t="s">
        <v>236</v>
      </c>
      <c r="B39" t="s">
        <v>237</v>
      </c>
      <c r="C39" t="s">
        <v>238</v>
      </c>
      <c r="D39" t="s">
        <v>128</v>
      </c>
    </row>
    <row r="40" spans="1:4">
      <c r="A40" t="s">
        <v>239</v>
      </c>
      <c r="B40" t="s">
        <v>240</v>
      </c>
      <c r="C40" t="s">
        <v>241</v>
      </c>
      <c r="D40" t="s">
        <v>128</v>
      </c>
    </row>
    <row r="41" spans="1:4">
      <c r="A41" t="s">
        <v>242</v>
      </c>
      <c r="B41" t="s">
        <v>243</v>
      </c>
      <c r="C41" t="s">
        <v>244</v>
      </c>
      <c r="D41" t="s">
        <v>128</v>
      </c>
    </row>
    <row r="42" spans="1:4">
      <c r="A42" t="s">
        <v>245</v>
      </c>
      <c r="B42" t="s">
        <v>246</v>
      </c>
      <c r="C42" t="s">
        <v>247</v>
      </c>
      <c r="D42" t="s">
        <v>128</v>
      </c>
    </row>
    <row r="43" spans="1:4">
      <c r="A43" t="s">
        <v>248</v>
      </c>
      <c r="B43" t="s">
        <v>249</v>
      </c>
      <c r="C43" t="s">
        <v>250</v>
      </c>
      <c r="D43" t="s">
        <v>128</v>
      </c>
    </row>
    <row r="44" spans="1:4">
      <c r="A44" t="s">
        <v>251</v>
      </c>
      <c r="B44" t="s">
        <v>252</v>
      </c>
      <c r="C44" t="s">
        <v>253</v>
      </c>
      <c r="D44" t="s">
        <v>128</v>
      </c>
    </row>
    <row r="45" spans="1:4">
      <c r="A45" t="s">
        <v>254</v>
      </c>
      <c r="B45" t="s">
        <v>255</v>
      </c>
      <c r="C45" t="s">
        <v>256</v>
      </c>
      <c r="D45" t="s">
        <v>128</v>
      </c>
    </row>
    <row r="46" spans="1:4">
      <c r="A46" t="s">
        <v>219</v>
      </c>
      <c r="B46" t="s">
        <v>220</v>
      </c>
      <c r="C46" t="s">
        <v>257</v>
      </c>
      <c r="D46" t="s">
        <v>220</v>
      </c>
    </row>
    <row r="47" spans="1:4">
      <c r="A47" t="s">
        <v>223</v>
      </c>
      <c r="B47" t="s">
        <v>220</v>
      </c>
      <c r="C47" t="s">
        <v>258</v>
      </c>
      <c r="D47" t="s">
        <v>220</v>
      </c>
    </row>
    <row r="49" spans="1:1">
      <c r="A49" t="s">
        <v>259</v>
      </c>
    </row>
    <row r="50" spans="1:4">
      <c r="A50" t="s">
        <v>119</v>
      </c>
      <c r="B50" t="s">
        <v>120</v>
      </c>
      <c r="C50" t="s">
        <v>122</v>
      </c>
      <c r="D50" t="s">
        <v>123</v>
      </c>
    </row>
    <row r="51" spans="1:4">
      <c r="A51" t="s">
        <v>17</v>
      </c>
      <c r="B51" t="s">
        <v>260</v>
      </c>
      <c r="C51" t="s">
        <v>261</v>
      </c>
      <c r="D51" t="s">
        <v>128</v>
      </c>
    </row>
    <row r="52" spans="1:4">
      <c r="A52" t="s">
        <v>262</v>
      </c>
      <c r="B52" t="s">
        <v>263</v>
      </c>
      <c r="C52" t="s">
        <v>261</v>
      </c>
      <c r="D52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Planilha2</vt:lpstr>
      <vt:lpstr>Planilha1</vt:lpstr>
      <vt:lpstr>Planilha3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</cp:lastModifiedBy>
  <dcterms:created xsi:type="dcterms:W3CDTF">2024-03-11T19:36:05Z</dcterms:created>
  <dcterms:modified xsi:type="dcterms:W3CDTF">2024-03-11T22:46:57Z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85FAB0F8C55048AD8A5115A0E6825574_13</vt:lpwstr>
  </property>
  <property fmtid="{D5CDD505-2E9C-101B-9397-08002B2CF9AE}" pid="3" name="KSOProductBuildVer">
    <vt:lpwstr>1046-12.2.0.13489</vt:lpwstr>
  </property>
</Properties>
</file>